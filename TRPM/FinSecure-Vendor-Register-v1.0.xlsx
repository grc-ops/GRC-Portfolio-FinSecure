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gister" sheetId="1" r:id="rId5"/>
    <sheet state="visible" name="Risk Scoring Matrix" sheetId="2" r:id="rId6"/>
  </sheets>
  <definedNames/>
  <calcPr/>
</workbook>
</file>

<file path=xl/sharedStrings.xml><?xml version="1.0" encoding="utf-8"?>
<sst xmlns="http://schemas.openxmlformats.org/spreadsheetml/2006/main" count="133" uniqueCount="90">
  <si>
    <t>Vendor ID</t>
  </si>
  <si>
    <t>Vendor Name</t>
  </si>
  <si>
    <t>Service Provided</t>
  </si>
  <si>
    <t>Data Accessed</t>
  </si>
  <si>
    <t>Country of Operation</t>
  </si>
  <si>
    <t>Contract Status</t>
  </si>
  <si>
    <t>Last Review Date</t>
  </si>
  <si>
    <t>Risk Tier</t>
  </si>
  <si>
    <t>Certifications Held</t>
  </si>
  <si>
    <t>Status</t>
  </si>
  <si>
    <t>V-001</t>
  </si>
  <si>
    <t>Amazon Web Services (AWS)</t>
  </si>
  <si>
    <t>Cloud infrastructure — hosting, storage, compute</t>
  </si>
  <si>
    <t>All customer PII · financial data · application data</t>
  </si>
  <si>
    <t>USA (AP-South-1 Mumbai region)</t>
  </si>
  <si>
    <t>Active · Expiry: Dec 2026</t>
  </si>
  <si>
    <t>Critical</t>
  </si>
  <si>
    <t>ISO 27001 · SOC 2 Type II · PCI-DSS · CSA STAR</t>
  </si>
  <si>
    <t>Active</t>
  </si>
  <si>
    <t>V-002</t>
  </si>
  <si>
    <t>TransUnion CIBIL Ltd</t>
  </si>
  <si>
    <t>Credit bureau — customer credit score and credit history API</t>
  </si>
  <si>
    <t>Customer PAN · name · DOB · loan history · credit score</t>
  </si>
  <si>
    <t>India</t>
  </si>
  <si>
    <t>Active · Expiry: Mar 2026</t>
  </si>
  <si>
    <t>RBI regulated · ISO 27001</t>
  </si>
  <si>
    <t>V-003</t>
  </si>
  <si>
    <t>Razorpay Software Pvt Ltd</t>
  </si>
  <si>
    <t>Payment gateway — loan disbursements and EMI collections</t>
  </si>
  <si>
    <t>Bank account details · UPI IDs · transaction data</t>
  </si>
  <si>
    <t>Active · Expiry: Jun 2026</t>
  </si>
  <si>
    <t>PCI-DSS Level 1 · ISO 27001 · RBI PA licensed</t>
  </si>
  <si>
    <t>V-004</t>
  </si>
  <si>
    <t>Experian India Pvt Ltd</t>
  </si>
  <si>
    <t>Credit bureau — secondary credit check and fraud scoring API</t>
  </si>
  <si>
    <t>Customer PAN · name · DOB · credit history · fraud indicators</t>
  </si>
  <si>
    <t>India (HQ — Ireland)</t>
  </si>
  <si>
    <t>Active · Expiry: Sep 2026</t>
  </si>
  <si>
    <t>High</t>
  </si>
  <si>
    <t>RBI regulated · ISO 27001 · SOC 2</t>
  </si>
  <si>
    <t>V-005</t>
  </si>
  <si>
    <t>DigiLocker — Ministry of Electronics &amp; IT (MeitY)</t>
  </si>
  <si>
    <t>Digital document verification — Aadhaar and PAN based eKYC</t>
  </si>
  <si>
    <t>Aadhaar number · PAN · address · government ID documents</t>
  </si>
  <si>
    <t>India (Government platform)</t>
  </si>
  <si>
    <t>Active · No fixed expiry — Government SLA</t>
  </si>
  <si>
    <t>Government of India platform · UIDAI integrated · ISO 27001</t>
  </si>
  <si>
    <t>V-006</t>
  </si>
  <si>
    <t>Perfios Account Aggregator Pvt Ltd</t>
  </si>
  <si>
    <t>Bank statement analysis — income verification and cash flow assessment for loan underwriting</t>
  </si>
  <si>
    <t>Bank statements · salary data · account transactions · spending patterns</t>
  </si>
  <si>
    <t>Active · Expiry: Aug 2026</t>
  </si>
  <si>
    <t>RBI Account Aggregator licensed · ISO 27001 · SEBI registered</t>
  </si>
  <si>
    <t>V-007</t>
  </si>
  <si>
    <t>Twilio Inc</t>
  </si>
  <si>
    <t>SMS gateway — OTP delivery for customer authentication and loan alerts</t>
  </si>
  <si>
    <t>Customer mobile numbers · OTP codes · SMS logs</t>
  </si>
  <si>
    <t>USA (data processed via India region)</t>
  </si>
  <si>
    <t>Active · Expiry: Oct 2026</t>
  </si>
  <si>
    <t>Medium</t>
  </si>
  <si>
    <t>ISO 27001 · SOC 2 Type II · GDPR compliant</t>
  </si>
  <si>
    <t>V-008</t>
  </si>
  <si>
    <t>AuthBridge Research Services Pvt Ltd</t>
  </si>
  <si>
    <t>Background verification — employee screening for new hires across all departments</t>
  </si>
  <si>
    <t>Employee PAN · Aadhaar · address · employment history · criminal records</t>
  </si>
  <si>
    <t>Active · Expiry: Mar 2027</t>
  </si>
  <si>
    <t>ISO 27001 · ISO 27701 · NASSCOM member</t>
  </si>
  <si>
    <t>Data Sensitivity</t>
  </si>
  <si>
    <t>Business Criticality</t>
  </si>
  <si>
    <t>Security Posture</t>
  </si>
  <si>
    <t>Regulatory Compliance</t>
  </si>
  <si>
    <t>Financial Stability</t>
  </si>
  <si>
    <t>Total Score</t>
  </si>
  <si>
    <t>1–5</t>
  </si>
  <si>
    <t>Max 25</t>
  </si>
  <si>
    <t>C/H/M/L</t>
  </si>
  <si>
    <t>Amazon Web Services</t>
  </si>
  <si>
    <t>DigiLocker — MeitY</t>
  </si>
  <si>
    <t>Perfios Account Aggregator</t>
  </si>
  <si>
    <t>AuthBridge Research Services</t>
  </si>
  <si>
    <t>RISK TIER SCORING GUIDE</t>
  </si>
  <si>
    <t>Score</t>
  </si>
  <si>
    <t>20–25</t>
  </si>
  <si>
    <t>Critical — Immediate escalation if issues arise</t>
  </si>
  <si>
    <t>14–19</t>
  </si>
  <si>
    <t>High — Active monitoring + annual re-assessment</t>
  </si>
  <si>
    <t>8–13</t>
  </si>
  <si>
    <t>Medium — Periodic review every 18 months</t>
  </si>
  <si>
    <t>1–7</t>
  </si>
  <si>
    <t>Low — Review every 2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</si>
</sst>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8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b/>
      <i/>
      <sz val="9.0"/>
      <color theme="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CEBEB"/>
        <bgColor rgb="FFFCEBEB"/>
      </patternFill>
    </fill>
    <fill>
      <patternFill patternType="solid">
        <fgColor rgb="FFA32D2D"/>
        <bgColor rgb="FFA32D2D"/>
      </patternFill>
    </fill>
    <fill>
      <patternFill patternType="solid">
        <fgColor rgb="FFFAEEDA"/>
        <bgColor rgb="FFFAEEDA"/>
      </patternFill>
    </fill>
    <fill>
      <patternFill patternType="solid">
        <fgColor rgb="FF854F0B"/>
        <bgColor rgb="FF854F0B"/>
      </patternFill>
    </fill>
    <fill>
      <patternFill patternType="solid">
        <fgColor rgb="FFE1F5EE"/>
        <bgColor rgb="FFE1F5EE"/>
      </patternFill>
    </fill>
    <fill>
      <patternFill patternType="solid">
        <fgColor rgb="FF0F6E56"/>
        <bgColor rgb="FF0F6E56"/>
      </patternFill>
    </fill>
    <fill>
      <patternFill patternType="solid">
        <fgColor theme="0"/>
        <bgColor theme="0"/>
      </patternFill>
    </fill>
    <fill>
      <patternFill patternType="solid">
        <fgColor rgb="FF2E75B6"/>
        <bgColor rgb="FF2E75B6"/>
      </patternFill>
    </fill>
    <fill>
      <patternFill patternType="solid">
        <fgColor rgb="FFE6F1FB"/>
        <bgColor rgb="FFE6F1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 shrinkToFit="0" wrapText="1"/>
    </xf>
    <xf borderId="1" fillId="3" fontId="2" numFmtId="164" xfId="0" applyAlignment="1" applyBorder="1" applyFont="1" applyNumberFormat="1">
      <alignment readingOrder="0"/>
    </xf>
    <xf borderId="1" fillId="4" fontId="3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 shrinkToFit="0" wrapText="1"/>
    </xf>
    <xf borderId="1" fillId="5" fontId="2" numFmtId="164" xfId="0" applyAlignment="1" applyBorder="1" applyFont="1" applyNumberFormat="1">
      <alignment readingOrder="0"/>
    </xf>
    <xf borderId="1" fillId="6" fontId="3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7" fontId="2" numFmtId="0" xfId="0" applyAlignment="1" applyBorder="1" applyFont="1">
      <alignment readingOrder="0" shrinkToFit="0" wrapText="1"/>
    </xf>
    <xf borderId="1" fillId="7" fontId="2" numFmtId="164" xfId="0" applyAlignment="1" applyBorder="1" applyFont="1" applyNumberFormat="1">
      <alignment readingOrder="0"/>
    </xf>
    <xf borderId="1" fillId="8" fontId="3" numFmtId="0" xfId="0" applyAlignment="1" applyBorder="1" applyFill="1" applyFont="1">
      <alignment readingOrder="0"/>
    </xf>
    <xf borderId="0" fillId="9" fontId="2" numFmtId="0" xfId="0" applyFill="1" applyFont="1"/>
    <xf borderId="1" fillId="2" fontId="1" numFmtId="0" xfId="0" applyAlignment="1" applyBorder="1" applyFont="1">
      <alignment horizontal="center" readingOrder="0"/>
    </xf>
    <xf borderId="0" fillId="0" fontId="4" numFmtId="0" xfId="0" applyFont="1"/>
    <xf borderId="1" fillId="10" fontId="5" numFmtId="0" xfId="0" applyBorder="1" applyFill="1" applyFont="1"/>
    <xf borderId="1" fillId="10" fontId="5" numFmtId="0" xfId="0" applyAlignment="1" applyBorder="1" applyFont="1">
      <alignment horizontal="center" readingOrder="0"/>
    </xf>
    <xf borderId="1" fillId="10" fontId="5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/>
    </xf>
    <xf borderId="1" fillId="6" fontId="6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/>
    </xf>
    <xf borderId="1" fillId="8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0" fillId="2" fontId="7" numFmtId="0" xfId="0" applyAlignment="1" applyFont="1">
      <alignment horizontal="center" readingOrder="0" shrinkToFit="0" wrapText="0"/>
    </xf>
    <xf borderId="1" fillId="11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7.0"/>
    <col customWidth="1" min="3" max="3" width="47.25"/>
    <col customWidth="1" min="4" max="4" width="46.63"/>
    <col customWidth="1" min="5" max="5" width="29.38"/>
    <col customWidth="1" min="6" max="6" width="33.38"/>
    <col customWidth="1" min="7" max="7" width="14.75"/>
    <col customWidth="1" min="8" max="8" width="8.0"/>
    <col customWidth="1" min="9" max="9" width="48.13"/>
    <col customWidth="1" min="10" max="10" width="10.1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3.75" customHeight="1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4">
        <v>46023.0</v>
      </c>
      <c r="H2" s="5" t="s">
        <v>16</v>
      </c>
      <c r="I2" s="2" t="s">
        <v>17</v>
      </c>
      <c r="J2" s="2" t="s">
        <v>18</v>
      </c>
    </row>
    <row r="3" ht="33.75" customHeight="1">
      <c r="A3" s="2" t="s">
        <v>19</v>
      </c>
      <c r="B3" s="2" t="s">
        <v>20</v>
      </c>
      <c r="C3" s="2" t="s">
        <v>21</v>
      </c>
      <c r="D3" s="3" t="s">
        <v>22</v>
      </c>
      <c r="E3" s="2" t="s">
        <v>23</v>
      </c>
      <c r="F3" s="2" t="s">
        <v>24</v>
      </c>
      <c r="G3" s="4">
        <v>45292.0</v>
      </c>
      <c r="H3" s="5" t="s">
        <v>16</v>
      </c>
      <c r="I3" s="2" t="s">
        <v>25</v>
      </c>
      <c r="J3" s="2" t="s">
        <v>18</v>
      </c>
    </row>
    <row r="4" ht="33.7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23</v>
      </c>
      <c r="F4" s="2" t="s">
        <v>30</v>
      </c>
      <c r="G4" s="4">
        <v>45658.0</v>
      </c>
      <c r="H4" s="5" t="s">
        <v>16</v>
      </c>
      <c r="I4" s="2" t="s">
        <v>31</v>
      </c>
      <c r="J4" s="2" t="s">
        <v>18</v>
      </c>
    </row>
    <row r="5" ht="33.75" customHeight="1">
      <c r="A5" s="6" t="s">
        <v>32</v>
      </c>
      <c r="B5" s="6" t="s">
        <v>33</v>
      </c>
      <c r="C5" s="6" t="s">
        <v>34</v>
      </c>
      <c r="D5" s="7" t="s">
        <v>35</v>
      </c>
      <c r="E5" s="6" t="s">
        <v>36</v>
      </c>
      <c r="F5" s="6" t="s">
        <v>37</v>
      </c>
      <c r="G5" s="8">
        <v>45658.0</v>
      </c>
      <c r="H5" s="9" t="s">
        <v>38</v>
      </c>
      <c r="I5" s="6" t="s">
        <v>39</v>
      </c>
      <c r="J5" s="6" t="s">
        <v>18</v>
      </c>
    </row>
    <row r="6" ht="33.75" customHeight="1">
      <c r="A6" s="6" t="s">
        <v>40</v>
      </c>
      <c r="B6" s="6" t="s">
        <v>41</v>
      </c>
      <c r="C6" s="6" t="s">
        <v>42</v>
      </c>
      <c r="D6" s="7" t="s">
        <v>43</v>
      </c>
      <c r="E6" s="6" t="s">
        <v>44</v>
      </c>
      <c r="F6" s="6" t="s">
        <v>45</v>
      </c>
      <c r="G6" s="8">
        <v>45658.0</v>
      </c>
      <c r="H6" s="9" t="s">
        <v>38</v>
      </c>
      <c r="I6" s="6" t="s">
        <v>46</v>
      </c>
      <c r="J6" s="6" t="s">
        <v>18</v>
      </c>
    </row>
    <row r="7" ht="33.75" customHeight="1">
      <c r="A7" s="6" t="s">
        <v>47</v>
      </c>
      <c r="B7" s="6" t="s">
        <v>48</v>
      </c>
      <c r="C7" s="7" t="s">
        <v>49</v>
      </c>
      <c r="D7" s="7" t="s">
        <v>50</v>
      </c>
      <c r="E7" s="6" t="s">
        <v>23</v>
      </c>
      <c r="F7" s="6" t="s">
        <v>51</v>
      </c>
      <c r="G7" s="8">
        <v>46023.0</v>
      </c>
      <c r="H7" s="9" t="s">
        <v>38</v>
      </c>
      <c r="I7" s="6" t="s">
        <v>52</v>
      </c>
      <c r="J7" s="6" t="s">
        <v>18</v>
      </c>
    </row>
    <row r="8" ht="33.75" customHeight="1">
      <c r="A8" s="10" t="s">
        <v>53</v>
      </c>
      <c r="B8" s="10" t="s">
        <v>54</v>
      </c>
      <c r="C8" s="11" t="s">
        <v>55</v>
      </c>
      <c r="D8" s="11" t="s">
        <v>56</v>
      </c>
      <c r="E8" s="10" t="s">
        <v>57</v>
      </c>
      <c r="F8" s="10" t="s">
        <v>58</v>
      </c>
      <c r="G8" s="12">
        <v>45658.0</v>
      </c>
      <c r="H8" s="13" t="s">
        <v>59</v>
      </c>
      <c r="I8" s="10" t="s">
        <v>60</v>
      </c>
      <c r="J8" s="10" t="s">
        <v>18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3.75" customHeight="1">
      <c r="A9" s="10" t="s">
        <v>61</v>
      </c>
      <c r="B9" s="10" t="s">
        <v>62</v>
      </c>
      <c r="C9" s="11" t="s">
        <v>63</v>
      </c>
      <c r="D9" s="11" t="s">
        <v>64</v>
      </c>
      <c r="E9" s="10" t="s">
        <v>23</v>
      </c>
      <c r="F9" s="10" t="s">
        <v>65</v>
      </c>
      <c r="G9" s="12">
        <v>45658.0</v>
      </c>
      <c r="H9" s="13" t="s">
        <v>59</v>
      </c>
      <c r="I9" s="10" t="s">
        <v>66</v>
      </c>
      <c r="J9" s="10" t="s">
        <v>18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38.13"/>
    <col customWidth="1" min="3" max="3" width="13.38"/>
    <col customWidth="1" min="4" max="4" width="16.5"/>
    <col customWidth="1" min="5" max="5" width="14.25"/>
    <col customWidth="1" min="6" max="6" width="19.63"/>
    <col customWidth="1" min="7" max="7" width="15.13"/>
    <col customWidth="1" min="8" max="8" width="10.0"/>
    <col customWidth="1" min="9" max="9" width="8.0"/>
  </cols>
  <sheetData>
    <row r="1" ht="21.0" customHeight="1">
      <c r="A1" s="15" t="s">
        <v>0</v>
      </c>
      <c r="B1" s="15" t="s">
        <v>1</v>
      </c>
      <c r="C1" s="15" t="s">
        <v>67</v>
      </c>
      <c r="D1" s="15" t="s">
        <v>68</v>
      </c>
      <c r="E1" s="15" t="s">
        <v>69</v>
      </c>
      <c r="F1" s="15" t="s">
        <v>70</v>
      </c>
      <c r="G1" s="15" t="s">
        <v>71</v>
      </c>
      <c r="H1" s="15" t="s">
        <v>72</v>
      </c>
      <c r="I1" s="15" t="s">
        <v>7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/>
      <c r="B2" s="17"/>
      <c r="C2" s="18" t="s">
        <v>73</v>
      </c>
      <c r="D2" s="18" t="s">
        <v>73</v>
      </c>
      <c r="E2" s="18" t="s">
        <v>73</v>
      </c>
      <c r="F2" s="18" t="s">
        <v>73</v>
      </c>
      <c r="G2" s="18" t="s">
        <v>73</v>
      </c>
      <c r="H2" s="18" t="s">
        <v>74</v>
      </c>
      <c r="I2" s="19" t="s">
        <v>75</v>
      </c>
    </row>
    <row r="3">
      <c r="A3" s="20" t="s">
        <v>10</v>
      </c>
      <c r="B3" s="20" t="s">
        <v>76</v>
      </c>
      <c r="C3" s="20">
        <v>5.0</v>
      </c>
      <c r="D3" s="20">
        <v>5.0</v>
      </c>
      <c r="E3" s="20">
        <v>2.0</v>
      </c>
      <c r="F3" s="20">
        <v>2.0</v>
      </c>
      <c r="G3" s="20">
        <v>1.0</v>
      </c>
      <c r="H3" s="21">
        <f t="shared" ref="H3:H10" si="1">SUM(C3:G3)</f>
        <v>15</v>
      </c>
      <c r="I3" s="22" t="s">
        <v>16</v>
      </c>
    </row>
    <row r="4">
      <c r="A4" s="20" t="s">
        <v>19</v>
      </c>
      <c r="B4" s="20" t="s">
        <v>20</v>
      </c>
      <c r="C4" s="20">
        <v>5.0</v>
      </c>
      <c r="D4" s="20">
        <v>5.0</v>
      </c>
      <c r="E4" s="20">
        <v>2.0</v>
      </c>
      <c r="F4" s="20">
        <v>1.0</v>
      </c>
      <c r="G4" s="20">
        <v>2.0</v>
      </c>
      <c r="H4" s="21">
        <f t="shared" si="1"/>
        <v>15</v>
      </c>
      <c r="I4" s="22" t="s">
        <v>16</v>
      </c>
    </row>
    <row r="5">
      <c r="A5" s="20" t="s">
        <v>26</v>
      </c>
      <c r="B5" s="20" t="s">
        <v>27</v>
      </c>
      <c r="C5" s="20">
        <v>4.0</v>
      </c>
      <c r="D5" s="20">
        <v>5.0</v>
      </c>
      <c r="E5" s="20">
        <v>2.0</v>
      </c>
      <c r="F5" s="20">
        <v>2.0</v>
      </c>
      <c r="G5" s="20">
        <v>2.0</v>
      </c>
      <c r="H5" s="21">
        <f t="shared" si="1"/>
        <v>15</v>
      </c>
      <c r="I5" s="22" t="s">
        <v>16</v>
      </c>
    </row>
    <row r="6">
      <c r="A6" s="23" t="s">
        <v>32</v>
      </c>
      <c r="B6" s="23" t="s">
        <v>33</v>
      </c>
      <c r="C6" s="23">
        <v>4.0</v>
      </c>
      <c r="D6" s="23">
        <v>3.0</v>
      </c>
      <c r="E6" s="23">
        <v>2.0</v>
      </c>
      <c r="F6" s="23">
        <v>2.0</v>
      </c>
      <c r="G6" s="23">
        <v>2.0</v>
      </c>
      <c r="H6" s="24">
        <f t="shared" si="1"/>
        <v>13</v>
      </c>
      <c r="I6" s="25" t="s">
        <v>38</v>
      </c>
    </row>
    <row r="7">
      <c r="A7" s="26" t="s">
        <v>40</v>
      </c>
      <c r="B7" s="26" t="s">
        <v>77</v>
      </c>
      <c r="C7" s="26">
        <v>5.0</v>
      </c>
      <c r="D7" s="26">
        <v>3.0</v>
      </c>
      <c r="E7" s="26">
        <v>2.0</v>
      </c>
      <c r="F7" s="26">
        <v>1.0</v>
      </c>
      <c r="G7" s="26">
        <v>1.0</v>
      </c>
      <c r="H7" s="27">
        <f t="shared" si="1"/>
        <v>12</v>
      </c>
      <c r="I7" s="28" t="s">
        <v>59</v>
      </c>
    </row>
    <row r="8">
      <c r="A8" s="23" t="s">
        <v>47</v>
      </c>
      <c r="B8" s="23" t="s">
        <v>78</v>
      </c>
      <c r="C8" s="23">
        <v>4.0</v>
      </c>
      <c r="D8" s="23">
        <v>3.0</v>
      </c>
      <c r="E8" s="23">
        <v>3.0</v>
      </c>
      <c r="F8" s="23">
        <v>2.0</v>
      </c>
      <c r="G8" s="23">
        <v>3.0</v>
      </c>
      <c r="H8" s="24">
        <f t="shared" si="1"/>
        <v>15</v>
      </c>
      <c r="I8" s="29" t="s">
        <v>38</v>
      </c>
    </row>
    <row r="9">
      <c r="A9" s="26" t="s">
        <v>53</v>
      </c>
      <c r="B9" s="26" t="s">
        <v>54</v>
      </c>
      <c r="C9" s="26">
        <v>2.0</v>
      </c>
      <c r="D9" s="26">
        <v>2.0</v>
      </c>
      <c r="E9" s="26">
        <v>2.0</v>
      </c>
      <c r="F9" s="26">
        <v>2.0</v>
      </c>
      <c r="G9" s="26">
        <v>1.0</v>
      </c>
      <c r="H9" s="27">
        <f t="shared" si="1"/>
        <v>9</v>
      </c>
      <c r="I9" s="28" t="s">
        <v>59</v>
      </c>
    </row>
    <row r="10">
      <c r="A10" s="26" t="s">
        <v>61</v>
      </c>
      <c r="B10" s="26" t="s">
        <v>79</v>
      </c>
      <c r="C10" s="26">
        <v>3.0</v>
      </c>
      <c r="D10" s="26">
        <v>1.0</v>
      </c>
      <c r="E10" s="26">
        <v>3.0</v>
      </c>
      <c r="F10" s="26">
        <v>2.0</v>
      </c>
      <c r="G10" s="26">
        <v>2.0</v>
      </c>
      <c r="H10" s="27">
        <f t="shared" si="1"/>
        <v>11</v>
      </c>
      <c r="I10" s="28" t="s">
        <v>59</v>
      </c>
    </row>
    <row r="11">
      <c r="A11" s="30" t="s">
        <v>80</v>
      </c>
    </row>
    <row r="12" ht="19.5" customHeight="1">
      <c r="A12" s="15" t="s">
        <v>81</v>
      </c>
      <c r="B12" s="15" t="s">
        <v>7</v>
      </c>
    </row>
    <row r="13">
      <c r="A13" s="22" t="s">
        <v>82</v>
      </c>
      <c r="B13" s="22" t="s">
        <v>83</v>
      </c>
    </row>
    <row r="14">
      <c r="A14" s="23" t="s">
        <v>84</v>
      </c>
      <c r="B14" s="23" t="s">
        <v>85</v>
      </c>
    </row>
    <row r="15">
      <c r="A15" s="26" t="s">
        <v>86</v>
      </c>
      <c r="B15" s="26" t="s">
        <v>87</v>
      </c>
    </row>
    <row r="16">
      <c r="A16" s="31" t="s">
        <v>88</v>
      </c>
      <c r="B16" s="31" t="s">
        <v>89</v>
      </c>
    </row>
  </sheetData>
  <mergeCells count="1">
    <mergeCell ref="A11:B11"/>
  </mergeCells>
  <drawing r:id="rId1"/>
</worksheet>
</file>